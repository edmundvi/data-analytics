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edmundviray\Documents\DataAnalytics\week-01\"/>
    </mc:Choice>
  </mc:AlternateContent>
  <xr:revisionPtr revIDLastSave="0" documentId="13_ncr:1_{6E98D847-C618-4513-A9D5-E5B80B15194A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1" sheetId="1" r:id="rId1"/>
    <sheet name="Sheet3" sheetId="3" r:id="rId2"/>
    <sheet name="Detail1" sheetId="4" r:id="rId3"/>
  </sheets>
  <calcPr calcId="191029"/>
  <pivotCaches>
    <pivotCache cacheId="1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1" l="1"/>
  <c r="H11" i="1"/>
  <c r="H10" i="1"/>
  <c r="J9" i="1"/>
  <c r="I9" i="1"/>
  <c r="H9" i="1"/>
  <c r="G9" i="1"/>
  <c r="D2" i="1"/>
  <c r="D9" i="1" s="1"/>
  <c r="D3" i="1"/>
  <c r="D4" i="1"/>
  <c r="D5" i="1"/>
  <c r="D6" i="1"/>
  <c r="D7" i="1"/>
  <c r="D8" i="1"/>
</calcChain>
</file>

<file path=xl/sharedStrings.xml><?xml version="1.0" encoding="utf-8"?>
<sst xmlns="http://schemas.openxmlformats.org/spreadsheetml/2006/main" count="87" uniqueCount="35">
  <si>
    <t>Id</t>
  </si>
  <si>
    <t>Start time</t>
  </si>
  <si>
    <t>Completion time</t>
  </si>
  <si>
    <t>Email</t>
  </si>
  <si>
    <t>Name</t>
  </si>
  <si>
    <t>My order was completed in a quick and timely manner.</t>
  </si>
  <si>
    <t>I am satisfied with the service provided by the employees</t>
  </si>
  <si>
    <t>I am satisfied with the quality of the pastries.</t>
  </si>
  <si>
    <t>I had a great overall experience at Mazetti's</t>
  </si>
  <si>
    <t>Tell us more (optional)</t>
  </si>
  <si>
    <t>How often do you visit Mazetti's Baker?</t>
  </si>
  <si>
    <t>What type of reward program interests you the most?</t>
  </si>
  <si>
    <t>What kind of rewards interest you?</t>
  </si>
  <si>
    <t>anonymous</t>
  </si>
  <si>
    <t>Once a month</t>
  </si>
  <si>
    <t>Points reward system</t>
  </si>
  <si>
    <t>Exclusive offers </t>
  </si>
  <si>
    <t>This is my first time</t>
  </si>
  <si>
    <t>I am not interested in a rewards program</t>
  </si>
  <si>
    <t>The pastries took over an hour to arrive, and although the employees told us issues they were having, it still took too long.</t>
  </si>
  <si>
    <t>I love Mazetti's, I come here every time I need a cake for a celebration</t>
  </si>
  <si>
    <t>Once every 2-3 weeks</t>
  </si>
  <si>
    <t>BOGOs;Exclusive offers ;Discounts;</t>
  </si>
  <si>
    <t>Once or more than once a week</t>
  </si>
  <si>
    <t>Subscription service</t>
  </si>
  <si>
    <t>Discounts;Exclusive offers ;</t>
  </si>
  <si>
    <t>Less than once a month</t>
  </si>
  <si>
    <t>Discounts;BOGOs;</t>
  </si>
  <si>
    <t>Punch cards</t>
  </si>
  <si>
    <t>Time to complete</t>
  </si>
  <si>
    <t>Average of My order was completed in a quick and timely manner.</t>
  </si>
  <si>
    <t>Average of I am satisfied with the service provided by the employees</t>
  </si>
  <si>
    <t>Average of I am satisfied with the quality of the pastries.</t>
  </si>
  <si>
    <t>Average of I had a great overall experience at Mazetti's</t>
  </si>
  <si>
    <t>Details for Average of My order was completed in a quick and timely manner.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</si>
</sst>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m/dd/yyyy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22" fontId="0" fillId="0" borderId="0" xfId="0" applyNumberFormat="1"/>
    <xf numFmtId="0" fontId="0" fillId="0" borderId="0" xfId="0" applyNumberFormat="1"/>
    <xf numFmtId="166" fontId="0" fillId="0" borderId="0" xfId="0" applyNumberFormat="1"/>
    <xf numFmtId="45" fontId="0" fillId="0" borderId="0" xfId="0" applyNumberFormat="1"/>
    <xf numFmtId="2" fontId="0" fillId="0" borderId="0" xfId="0" applyNumberFormat="1"/>
    <xf numFmtId="19" fontId="0" fillId="0" borderId="0" xfId="0" applyNumberFormat="1"/>
    <xf numFmtId="0" fontId="1" fillId="0" borderId="0" xfId="0" applyFont="1"/>
  </cellXfs>
  <cellStyles count="1">
    <cellStyle name="Normal" xfId="0" builtinId="0"/>
  </cellStyles>
  <dxfs count="31">
    <dxf>
      <numFmt numFmtId="24" formatCode="h:mm:ss\ AM/PM"/>
    </dxf>
    <dxf>
      <numFmt numFmtId="27" formatCode="m/d/yyyy\ h:mm"/>
    </dxf>
    <dxf>
      <numFmt numFmtId="27" formatCode="m/d/yyyy\ h:mm"/>
    </dxf>
    <dxf>
      <numFmt numFmtId="30" formatCode="@"/>
    </dxf>
    <dxf>
      <numFmt numFmtId="30" formatCode="@"/>
    </dxf>
    <dxf>
      <numFmt numFmtId="2" formatCode="0.00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28" formatCode="mm:ss"/>
    </dxf>
    <dxf>
      <numFmt numFmtId="166" formatCode="mm/dd/yyyy\ hh:mm:ss"/>
    </dxf>
    <dxf>
      <numFmt numFmtId="166" formatCode="mm/dd/yyyy\ hh:mm:ss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166" formatCode="mm/dd/yyyy\ hh:mm:ss"/>
    </dxf>
    <dxf>
      <numFmt numFmtId="166" formatCode="mm/dd/yyyy\ hh:mm:ss"/>
    </dxf>
    <dxf>
      <numFmt numFmtId="0" formatCode="General"/>
    </dxf>
    <dxf>
      <numFmt numFmtId="28" formatCode="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[Mazetti's Bakery Customer Satisfaction Survey.xlsx]Sheet3!PivotTable2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6717154737680263E-2"/>
          <c:y val="0.14850246522922952"/>
          <c:w val="0.5695001327081306"/>
          <c:h val="0.7477673117963058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Sheet3!$A$1</c:f>
              <c:strCache>
                <c:ptCount val="1"/>
                <c:pt idx="0">
                  <c:v>Average of My order was completed in a quick and timely manner.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Sheet3!$A$2</c:f>
              <c:numCache>
                <c:formatCode>General</c:formatCode>
                <c:ptCount val="1"/>
                <c:pt idx="0">
                  <c:v>3.5714285714285716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B4-4AD3-B0B4-06129A7C4E37}"/>
            </c:ext>
          </c:extLst>
        </c:ser>
        <c:ser>
          <c:idx val="1"/>
          <c:order val="1"/>
          <c:tx>
            <c:strRef>
              <c:f>Sheet3!$B$1</c:f>
              <c:strCache>
                <c:ptCount val="1"/>
                <c:pt idx="0">
                  <c:v>Average of I am satisfied with the service provided by the employees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Sheet3!$B$2</c:f>
              <c:numCache>
                <c:formatCode>General</c:formatCode>
                <c:ptCount val="1"/>
                <c:pt idx="0">
                  <c:v>4.1428571428571432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B4-4AD3-B0B4-06129A7C4E37}"/>
            </c:ext>
          </c:extLst>
        </c:ser>
        <c:ser>
          <c:idx val="2"/>
          <c:order val="2"/>
          <c:tx>
            <c:strRef>
              <c:f>Sheet3!$C$1</c:f>
              <c:strCache>
                <c:ptCount val="1"/>
                <c:pt idx="0">
                  <c:v>Average of I am satisfied with the quality of the pastries.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Sheet3!$C$2</c:f>
              <c:numCache>
                <c:formatCode>General</c:formatCode>
                <c:ptCount val="1"/>
                <c:pt idx="0">
                  <c:v>4.4285714285714288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B4-4AD3-B0B4-06129A7C4E37}"/>
            </c:ext>
          </c:extLst>
        </c:ser>
        <c:ser>
          <c:idx val="3"/>
          <c:order val="3"/>
          <c:tx>
            <c:strRef>
              <c:f>Sheet3!$D$1</c:f>
              <c:strCache>
                <c:ptCount val="1"/>
                <c:pt idx="0">
                  <c:v>Average of I had a great overall experience at Mazetti's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Sheet3!$D$2</c:f>
              <c:numCache>
                <c:formatCode>General</c:formatCode>
                <c:ptCount val="1"/>
                <c:pt idx="0">
                  <c:v>4.1428571428571432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B4-4AD3-B0B4-06129A7C4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23284448"/>
        <c:axId val="1423287328"/>
      </c:barChart>
      <c:catAx>
        <c:axId val="1423284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287328"/>
        <c:crosses val="autoZero"/>
        <c:auto val="1"/>
        <c:lblAlgn val="ctr"/>
        <c:lblOffset val="100"/>
        <c:noMultiLvlLbl val="0"/>
      </c:catAx>
      <c:valAx>
        <c:axId val="1423287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284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1250950</xdr:colOff>
      <xdr:row>3</xdr:row>
      <xdr:rowOff>88900</xdr:rowOff>
    </xdr:from>
    <xdr:to>
      <xdr:col>1</xdr:col>
      <xdr:colOff>2908300</xdr:colOff>
      <xdr:row>18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44768F-8A15-1D28-E4C8-7EDDAD8C31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mund viray" refreshedDate="46125.469865624997" createdVersion="8" refreshedVersion="8" minRefreshableVersion="3" recordCount="7" xr:uid="{EB3739AF-0045-45E2-A257-BE253323666B}">
  <cacheSource type="worksheet">
    <worksheetSource name="OfficeForms.Table"/>
  </cacheSource>
  <cacheFields count="14">
    <cacheField name="Id" numFmtId="0">
      <sharedItems containsSemiMixedTypes="0" containsString="0" containsNumber="1" containsInteger="1" minValue="1" maxValue="7"/>
    </cacheField>
    <cacheField name="Start time" numFmtId="166">
      <sharedItems containsSemiMixedTypes="0" containsNonDate="0" containsDate="1" containsString="0" minDate="2026-04-12T20:52:55" maxDate="2026-04-13T10:20:58"/>
    </cacheField>
    <cacheField name="Completion time" numFmtId="166">
      <sharedItems containsSemiMixedTypes="0" containsNonDate="0" containsDate="1" containsString="0" minDate="2026-04-12T20:53:03" maxDate="2026-04-13T10:21:13"/>
    </cacheField>
    <cacheField name="Time to complete" numFmtId="45">
      <sharedItems containsSemiMixedTypes="0" containsNonDate="0" containsDate="1" containsString="0" minDate="1899-12-30T00:00:08" maxDate="1899-12-30T00:02:21"/>
    </cacheField>
    <cacheField name="Email" numFmtId="0">
      <sharedItems/>
    </cacheField>
    <cacheField name="Name" numFmtId="0">
      <sharedItems containsNonDate="0" containsString="0" containsBlank="1"/>
    </cacheField>
    <cacheField name="My order was completed in a quick and timely manner." numFmtId="0">
      <sharedItems containsSemiMixedTypes="0" containsString="0" containsNumber="1" containsInteger="1" minValue="1" maxValue="5"/>
    </cacheField>
    <cacheField name="I am satisfied with the service provided by the employees" numFmtId="0">
      <sharedItems containsSemiMixedTypes="0" containsString="0" containsNumber="1" containsInteger="1" minValue="3" maxValue="5"/>
    </cacheField>
    <cacheField name="I am satisfied with the quality of the pastries." numFmtId="0">
      <sharedItems containsSemiMixedTypes="0" containsString="0" containsNumber="1" containsInteger="1" minValue="3" maxValue="5"/>
    </cacheField>
    <cacheField name="I had a great overall experience at Mazetti's" numFmtId="0">
      <sharedItems containsSemiMixedTypes="0" containsString="0" containsNumber="1" containsInteger="1" minValue="2" maxValue="5"/>
    </cacheField>
    <cacheField name="Tell us more (optional)" numFmtId="0">
      <sharedItems containsBlank="1"/>
    </cacheField>
    <cacheField name="How often do you visit Mazetti's Baker?" numFmtId="0">
      <sharedItems/>
    </cacheField>
    <cacheField name="What type of reward program interests you the most?" numFmtId="0">
      <sharedItems/>
    </cacheField>
    <cacheField name="What kind of rewards interest you?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1"/>
    <d v="2026-04-12T20:52:55"/>
    <d v="2026-04-12T20:53:03"/>
    <d v="1899-12-30T00:00:08"/>
    <s v="anonymous"/>
    <m/>
    <n v="4"/>
    <n v="3"/>
    <n v="5"/>
    <n v="4"/>
    <m/>
    <s v="Once a month"/>
    <s v="Points reward system"/>
    <s v="Exclusive offers "/>
  </r>
  <r>
    <n v="2"/>
    <d v="2026-04-12T20:55:22"/>
    <d v="2026-04-12T20:55:30"/>
    <d v="1899-12-30T00:00:08"/>
    <s v="anonymous"/>
    <m/>
    <n v="3"/>
    <n v="5"/>
    <n v="4"/>
    <n v="4"/>
    <m/>
    <s v="This is my first time"/>
    <s v="I am not interested in a rewards program"/>
    <m/>
  </r>
  <r>
    <n v="3"/>
    <d v="2026-04-13T10:16:18"/>
    <d v="2026-04-13T10:18:39"/>
    <d v="1899-12-30T00:02:21"/>
    <s v="anonymous"/>
    <m/>
    <n v="1"/>
    <n v="3"/>
    <n v="4"/>
    <n v="2"/>
    <s v="The pastries took over an hour to arrive, and although the employees told us issues they were having, it still took too long."/>
    <s v="This is my first time"/>
    <s v="I am not interested in a rewards program"/>
    <m/>
  </r>
  <r>
    <n v="4"/>
    <d v="2026-04-13T10:18:44"/>
    <d v="2026-04-13T10:19:31"/>
    <d v="1899-12-30T00:00:47"/>
    <s v="anonymous"/>
    <m/>
    <n v="5"/>
    <n v="5"/>
    <n v="5"/>
    <n v="5"/>
    <s v="I love Mazetti's, I come here every time I need a cake for a celebration"/>
    <s v="Once every 2-3 weeks"/>
    <s v="Points reward system"/>
    <s v="BOGOs;Exclusive offers ;Discounts;"/>
  </r>
  <r>
    <n v="5"/>
    <d v="2026-04-13T10:19:37"/>
    <d v="2026-04-13T10:20:10"/>
    <d v="1899-12-30T00:00:33"/>
    <s v="anonymous"/>
    <m/>
    <n v="4"/>
    <n v="4"/>
    <n v="5"/>
    <n v="5"/>
    <m/>
    <s v="Once or more than once a week"/>
    <s v="Subscription service"/>
    <s v="Discounts;Exclusive offers ;"/>
  </r>
  <r>
    <n v="6"/>
    <d v="2026-04-13T10:20:16"/>
    <d v="2026-04-13T10:20:49"/>
    <d v="1899-12-30T00:00:33"/>
    <s v="anonymous"/>
    <m/>
    <n v="3"/>
    <n v="4"/>
    <n v="3"/>
    <n v="4"/>
    <m/>
    <s v="Less than once a month"/>
    <s v="Points reward system"/>
    <s v="Discounts;BOGOs;"/>
  </r>
  <r>
    <n v="7"/>
    <d v="2026-04-13T10:20:58"/>
    <d v="2026-04-13T10:21:13"/>
    <d v="1899-12-30T00:00:15"/>
    <s v="anonymous"/>
    <m/>
    <n v="5"/>
    <n v="5"/>
    <n v="5"/>
    <n v="5"/>
    <m/>
    <s v="Once or more than once a week"/>
    <s v="Punch cards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D8E23C-2DBD-4486-ACC6-EA96FC15145F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D2" firstHeaderRow="0" firstDataRow="1" firstDataCol="0"/>
  <pivotFields count="14">
    <pivotField showAll="0"/>
    <pivotField numFmtId="166" showAll="0"/>
    <pivotField numFmtId="166" showAll="0"/>
    <pivotField numFmtId="45"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My order was completed in a quick and timely manner." fld="6" subtotal="average" baseField="0" baseItem="0"/>
    <dataField name="Average of I am satisfied with the service provided by the employees" fld="7" subtotal="average" baseField="0" baseItem="1"/>
    <dataField name="Average of I am satisfied with the quality of the pastries." fld="8" subtotal="average" baseField="0" baseItem="1"/>
    <dataField name="Average of I had a great overall experience at Mazetti's" fld="9" subtotal="average" baseField="0" baseItem="1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N9" totalsRowCount="1">
  <autoFilter ref="A1:N8" xr:uid="{00000000-0009-0000-0100-000001000000}"/>
  <tableColumns count="14">
    <tableColumn id="1" xr3:uid="{00000000-0010-0000-0000-000001000000}" name="Id" dataDxfId="29" totalsRowDxfId="16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 dataDxfId="28" totalsRowDxfId="15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 dataDxfId="27" totalsRowDxfId="14">
      <extLst>
        <ext xmlns:xlmsforms="http://schemas.microsoft.com/office/spreadsheetml/2023/msForms" uri="{FCC71383-01E1-4257-9335-427F07BE8D7F}">
          <xlmsforms:question id="submitDate"/>
        </ext>
      </extLst>
    </tableColumn>
    <tableColumn id="14" xr3:uid="{47D7329B-F192-410F-BB75-98300B36177A}" name="Time to complete" totalsRowFunction="custom" dataDxfId="30" totalsRowDxfId="13">
      <calculatedColumnFormula>C2-B2</calculatedColumnFormula>
      <totalsRowFormula>AVERAGE(D2:D8)</totalsRowFormula>
    </tableColumn>
    <tableColumn id="4" xr3:uid="{00000000-0010-0000-0000-000004000000}" name="Email" dataDxfId="26" totalsRowDxfId="12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25" totalsRowDxfId="11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My order was completed in a quick and timely manner." totalsRowFunction="custom" dataDxfId="24" totalsRowDxfId="10">
      <totalsRowFormula>AVERAGE(G2:G8)</totalsRowFormula>
      <extLst>
        <ext xmlns:xlmsforms="http://schemas.microsoft.com/office/spreadsheetml/2023/msForms" uri="{FCC71383-01E1-4257-9335-427F07BE8D7F}">
          <xlmsforms:question id="r29693df1eacb465db5e506bf2686497e"/>
        </ext>
      </extLst>
    </tableColumn>
    <tableColumn id="7" xr3:uid="{00000000-0010-0000-0000-000007000000}" name="I am satisfied with the service provided by the employees" totalsRowFunction="custom" dataDxfId="23" totalsRowDxfId="9">
      <totalsRowFormula>AVERAGE(H2:H8)</totalsRowFormula>
      <extLst>
        <ext xmlns:xlmsforms="http://schemas.microsoft.com/office/spreadsheetml/2023/msForms" uri="{FCC71383-01E1-4257-9335-427F07BE8D7F}">
          <xlmsforms:question id="rb759bcd8109d43a198cf267bc41bd0a6"/>
        </ext>
      </extLst>
    </tableColumn>
    <tableColumn id="8" xr3:uid="{00000000-0010-0000-0000-000008000000}" name="I am satisfied with the quality of the pastries." totalsRowFunction="custom" dataDxfId="22" totalsRowDxfId="8">
      <totalsRowFormula>AVERAGE(I2:I8)</totalsRowFormula>
      <extLst>
        <ext xmlns:xlmsforms="http://schemas.microsoft.com/office/spreadsheetml/2023/msForms" uri="{FCC71383-01E1-4257-9335-427F07BE8D7F}">
          <xlmsforms:question id="rde942c6053ac4eaa87b02f20d583e4b7"/>
        </ext>
      </extLst>
    </tableColumn>
    <tableColumn id="9" xr3:uid="{00000000-0010-0000-0000-000009000000}" name="I had a great overall experience at Mazetti's" totalsRowFunction="custom" dataDxfId="21" totalsRowDxfId="7">
      <totalsRowFormula>AVERAGE(J2:J8)</totalsRowFormula>
      <extLst>
        <ext xmlns:xlmsforms="http://schemas.microsoft.com/office/spreadsheetml/2023/msForms" uri="{FCC71383-01E1-4257-9335-427F07BE8D7F}">
          <xlmsforms:question id="rb3bd8d7fdc1945a0a23966686aef2f6f"/>
        </ext>
      </extLst>
    </tableColumn>
    <tableColumn id="10" xr3:uid="{00000000-0010-0000-0000-00000A000000}" name="Tell us more (optional)" dataDxfId="20" totalsRowDxfId="6">
      <extLst>
        <ext xmlns:xlmsforms="http://schemas.microsoft.com/office/spreadsheetml/2023/msForms" uri="{FCC71383-01E1-4257-9335-427F07BE8D7F}">
          <xlmsforms:question id="r9e09c03368b4454f84e335b911a3e990"/>
        </ext>
      </extLst>
    </tableColumn>
    <tableColumn id="11" xr3:uid="{00000000-0010-0000-0000-00000B000000}" name="How often do you visit Mazetti's Baker?" totalsRowFunction="custom" dataDxfId="19" totalsRowDxfId="5">
      <totalsRowFormula>AVERAGE(_xlfn.SWITCH("Once a month",0,"This is my first time",1,"Once every 2-3 weeks",2,"once or more than once a week",3))</totalsRowFormula>
      <extLst>
        <ext xmlns:xlmsforms="http://schemas.microsoft.com/office/spreadsheetml/2023/msForms" uri="{FCC71383-01E1-4257-9335-427F07BE8D7F}">
          <xlmsforms:question id="r063384fd44a3433b835a28c2681045c0"/>
        </ext>
      </extLst>
    </tableColumn>
    <tableColumn id="12" xr3:uid="{00000000-0010-0000-0000-00000C000000}" name="What type of reward program interests you the most?" dataDxfId="18" totalsRowDxfId="4">
      <extLst>
        <ext xmlns:xlmsforms="http://schemas.microsoft.com/office/spreadsheetml/2023/msForms" uri="{FCC71383-01E1-4257-9335-427F07BE8D7F}">
          <xlmsforms:question id="r4f255540b0624e3fbdad0bf6ace7393a"/>
        </ext>
      </extLst>
    </tableColumn>
    <tableColumn id="13" xr3:uid="{00000000-0010-0000-0000-00000D000000}" name="What kind of rewards interest you?" dataDxfId="17" totalsRowDxfId="3">
      <extLst>
        <ext xmlns:xlmsforms="http://schemas.microsoft.com/office/spreadsheetml/2023/msForms" uri="{FCC71383-01E1-4257-9335-427F07BE8D7F}">
          <xlmsforms:question id="rf528e89595154601bac1b475c511635e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1zOu4HxDE2TEH-Hczbhzyg7i5hVphBGuywrVJlHa2VUN1hFNUdQQzBHQ1FNWjlaMk1OVEFHMVAwMy4u" isFormConnected="1" maxResponseId="7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r29693df1eacb465db5e506bf2686497e</xlmsforms:syncedQuestionId>
        <xlmsforms:syncedQuestionId>rb759bcd8109d43a198cf267bc41bd0a6</xlmsforms:syncedQuestionId>
        <xlmsforms:syncedQuestionId>rde942c6053ac4eaa87b02f20d583e4b7</xlmsforms:syncedQuestionId>
        <xlmsforms:syncedQuestionId>rb3bd8d7fdc1945a0a23966686aef2f6f</xlmsforms:syncedQuestionId>
        <xlmsforms:syncedQuestionId>r9e09c03368b4454f84e335b911a3e990</xlmsforms:syncedQuestionId>
        <xlmsforms:syncedQuestionId>r063384fd44a3433b835a28c2681045c0</xlmsforms:syncedQuestionId>
        <xlmsforms:syncedQuestionId>r4f255540b0624e3fbdad0bf6ace7393a</xlmsforms:syncedQuestionId>
        <xlmsforms:syncedQuestionId>rf528e89595154601bac1b475c511635e</xlmsforms:syncedQuestionId>
      </xlmsforms:msForm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917ECE-9204-4C19-8EFE-906ED43ABEEC}" name="Table2" displayName="Table2" ref="A3:N10" totalsRowShown="0">
  <autoFilter ref="A3:N10" xr:uid="{99917ECE-9204-4C19-8EFE-906ED43ABEEC}"/>
  <tableColumns count="14">
    <tableColumn id="1" xr3:uid="{4DAE5159-FEF9-4EC6-BFF6-FE4BE058727F}" name="Id"/>
    <tableColumn id="2" xr3:uid="{110E6BA9-1A47-4869-9A1B-703CC62959A8}" name="Start time" dataDxfId="2"/>
    <tableColumn id="3" xr3:uid="{F498B13E-FF36-4713-B6B4-98F2A8E2C92F}" name="Completion time" dataDxfId="1"/>
    <tableColumn id="4" xr3:uid="{9F3C79D1-FCB5-4781-9654-E4E4B0961945}" name="Time to complete" dataDxfId="0"/>
    <tableColumn id="5" xr3:uid="{41417F62-E729-4F27-B6F3-637C6DD71C0D}" name="Email"/>
    <tableColumn id="6" xr3:uid="{5078729A-1134-4C1B-9843-B268008421EE}" name="Name"/>
    <tableColumn id="7" xr3:uid="{D330C944-13EC-449D-AC70-B39089D896B3}" name="My order was completed in a quick and timely manner."/>
    <tableColumn id="8" xr3:uid="{18563BD2-5FCD-4AC5-9E7A-63C9DEFFDD1C}" name="I am satisfied with the service provided by the employees"/>
    <tableColumn id="9" xr3:uid="{174F4396-0149-463E-9CAB-78D5FCD0B0CF}" name="I am satisfied with the quality of the pastries."/>
    <tableColumn id="10" xr3:uid="{03C677C9-9D5E-4056-9E3C-6CC19B2938F0}" name="I had a great overall experience at Mazetti's"/>
    <tableColumn id="11" xr3:uid="{F297C22F-0108-4545-B49E-550132A93110}" name="Tell us more (optional)"/>
    <tableColumn id="12" xr3:uid="{63B2328A-2A09-43DC-B30F-90C65C94F229}" name="How often do you visit Mazetti's Baker?"/>
    <tableColumn id="13" xr3:uid="{8CC980B8-DE6B-4ED6-8D37-77FC8B366B4E}" name="What type of reward program interests you the most?"/>
    <tableColumn id="14" xr3:uid="{2C5EB9D2-5F07-4FFC-8376-B7536D4990EA}" name="What kind of rewards interest you?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workbookViewId="0">
      <selection activeCell="G2" sqref="G2"/>
    </sheetView>
  </sheetViews>
  <sheetFormatPr defaultRowHeight="14.5" x14ac:dyDescent="0.35"/>
  <cols>
    <col min="1" max="3" width="20" bestFit="1" customWidth="1"/>
    <col min="4" max="4" width="20" customWidth="1"/>
    <col min="5" max="11" width="20" bestFit="1" customWidth="1"/>
    <col min="12" max="12" width="36.81640625" bestFit="1" customWidth="1"/>
    <col min="13" max="13" width="49.26953125" bestFit="1" customWidth="1"/>
    <col min="14" max="14" width="33.1796875" bestFit="1" customWidth="1"/>
  </cols>
  <sheetData>
    <row r="1" spans="1:14" x14ac:dyDescent="0.35">
      <c r="A1" t="s">
        <v>0</v>
      </c>
      <c r="B1" s="4" t="s">
        <v>1</v>
      </c>
      <c r="C1" t="s">
        <v>2</v>
      </c>
      <c r="D1" t="s">
        <v>29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5">
      <c r="A2">
        <v>1</v>
      </c>
      <c r="B2" s="4">
        <v>46124.870081018518</v>
      </c>
      <c r="C2" s="4">
        <v>46124.870173611111</v>
      </c>
      <c r="D2" s="5">
        <f t="shared" ref="D2:D8" si="0">C2-B2</f>
        <v>9.2592592409346253E-5</v>
      </c>
      <c r="E2" t="s">
        <v>13</v>
      </c>
      <c r="G2">
        <v>4</v>
      </c>
      <c r="H2">
        <v>3</v>
      </c>
      <c r="I2">
        <v>5</v>
      </c>
      <c r="J2">
        <v>4</v>
      </c>
      <c r="L2" t="s">
        <v>14</v>
      </c>
      <c r="M2" t="s">
        <v>15</v>
      </c>
      <c r="N2" t="s">
        <v>16</v>
      </c>
    </row>
    <row r="3" spans="1:14" x14ac:dyDescent="0.35">
      <c r="A3">
        <v>2</v>
      </c>
      <c r="B3" s="4">
        <v>46124.871782407405</v>
      </c>
      <c r="C3" s="4">
        <v>46124.871874999997</v>
      </c>
      <c r="D3" s="5">
        <f t="shared" si="0"/>
        <v>9.2592592409346253E-5</v>
      </c>
      <c r="E3" t="s">
        <v>13</v>
      </c>
      <c r="G3">
        <v>3</v>
      </c>
      <c r="H3">
        <v>5</v>
      </c>
      <c r="I3">
        <v>4</v>
      </c>
      <c r="J3">
        <v>4</v>
      </c>
      <c r="L3" t="s">
        <v>17</v>
      </c>
      <c r="M3" t="s">
        <v>18</v>
      </c>
    </row>
    <row r="4" spans="1:14" x14ac:dyDescent="0.35">
      <c r="A4">
        <v>3</v>
      </c>
      <c r="B4" s="4">
        <v>46125.427986111114</v>
      </c>
      <c r="C4" s="4">
        <v>46125.429618055554</v>
      </c>
      <c r="D4" s="5">
        <f t="shared" si="0"/>
        <v>1.631944440305233E-3</v>
      </c>
      <c r="E4" t="s">
        <v>13</v>
      </c>
      <c r="G4">
        <v>1</v>
      </c>
      <c r="H4">
        <v>3</v>
      </c>
      <c r="I4">
        <v>4</v>
      </c>
      <c r="J4">
        <v>2</v>
      </c>
      <c r="K4" t="s">
        <v>19</v>
      </c>
      <c r="L4" t="s">
        <v>17</v>
      </c>
      <c r="M4" t="s">
        <v>18</v>
      </c>
    </row>
    <row r="5" spans="1:14" x14ac:dyDescent="0.35">
      <c r="A5">
        <v>4</v>
      </c>
      <c r="B5" s="4">
        <v>46125.429675925923</v>
      </c>
      <c r="C5" s="4">
        <v>46125.430219907408</v>
      </c>
      <c r="D5" s="5">
        <f t="shared" si="0"/>
        <v>5.4398148495238274E-4</v>
      </c>
      <c r="E5" t="s">
        <v>13</v>
      </c>
      <c r="G5">
        <v>5</v>
      </c>
      <c r="H5">
        <v>5</v>
      </c>
      <c r="I5">
        <v>5</v>
      </c>
      <c r="J5">
        <v>5</v>
      </c>
      <c r="K5" t="s">
        <v>20</v>
      </c>
      <c r="L5" t="s">
        <v>21</v>
      </c>
      <c r="M5" t="s">
        <v>15</v>
      </c>
      <c r="N5" t="s">
        <v>22</v>
      </c>
    </row>
    <row r="6" spans="1:14" x14ac:dyDescent="0.35">
      <c r="A6">
        <v>5</v>
      </c>
      <c r="B6" s="4">
        <v>46125.430289351854</v>
      </c>
      <c r="C6" s="4">
        <v>46125.430671296293</v>
      </c>
      <c r="D6" s="5">
        <f t="shared" si="0"/>
        <v>3.8194443914107978E-4</v>
      </c>
      <c r="E6" t="s">
        <v>13</v>
      </c>
      <c r="G6">
        <v>4</v>
      </c>
      <c r="H6">
        <v>4</v>
      </c>
      <c r="I6">
        <v>5</v>
      </c>
      <c r="J6">
        <v>5</v>
      </c>
      <c r="L6" t="s">
        <v>23</v>
      </c>
      <c r="M6" t="s">
        <v>24</v>
      </c>
      <c r="N6" t="s">
        <v>25</v>
      </c>
    </row>
    <row r="7" spans="1:14" x14ac:dyDescent="0.35">
      <c r="A7">
        <v>6</v>
      </c>
      <c r="B7" s="4">
        <v>46125.43074074074</v>
      </c>
      <c r="C7" s="4">
        <v>46125.431122685186</v>
      </c>
      <c r="D7" s="5">
        <f t="shared" si="0"/>
        <v>3.819444464170374E-4</v>
      </c>
      <c r="E7" t="s">
        <v>13</v>
      </c>
      <c r="G7">
        <v>3</v>
      </c>
      <c r="H7">
        <v>4</v>
      </c>
      <c r="I7">
        <v>3</v>
      </c>
      <c r="J7">
        <v>4</v>
      </c>
      <c r="L7" t="s">
        <v>26</v>
      </c>
      <c r="M7" t="s">
        <v>15</v>
      </c>
      <c r="N7" t="s">
        <v>27</v>
      </c>
    </row>
    <row r="8" spans="1:14" x14ac:dyDescent="0.35">
      <c r="A8">
        <v>7</v>
      </c>
      <c r="B8" s="4">
        <v>46125.431226851855</v>
      </c>
      <c r="C8" s="4">
        <v>46125.431400462963</v>
      </c>
      <c r="D8" s="5">
        <f t="shared" si="0"/>
        <v>1.7361110803904012E-4</v>
      </c>
      <c r="E8" t="s">
        <v>13</v>
      </c>
      <c r="G8">
        <v>5</v>
      </c>
      <c r="H8">
        <v>5</v>
      </c>
      <c r="I8">
        <v>5</v>
      </c>
      <c r="J8">
        <v>5</v>
      </c>
      <c r="L8" t="s">
        <v>23</v>
      </c>
      <c r="M8" t="s">
        <v>28</v>
      </c>
    </row>
    <row r="9" spans="1:14" x14ac:dyDescent="0.35">
      <c r="A9" s="3"/>
      <c r="B9" s="4"/>
      <c r="C9" s="4"/>
      <c r="D9" s="5">
        <f>AVERAGE(D2:D8)</f>
        <v>4.7123015766763795E-4</v>
      </c>
      <c r="E9" s="1"/>
      <c r="F9" s="1"/>
      <c r="G9" s="6">
        <f>AVERAGE(G2:G8)</f>
        <v>3.5714285714285716</v>
      </c>
      <c r="H9" s="6">
        <f>AVERAGE(H2:H8)</f>
        <v>4.1428571428571432</v>
      </c>
      <c r="I9" s="6">
        <f>AVERAGE(I2:I8)</f>
        <v>4.4285714285714288</v>
      </c>
      <c r="J9" s="6">
        <f>AVERAGE(J2:J8)</f>
        <v>4.1428571428571432</v>
      </c>
      <c r="K9" s="1"/>
      <c r="L9" s="6">
        <f>AVERAGE(_xlfn.SWITCH("Once a month",0,"This is my first time",1,"Once every 2-3 weeks",2,"once or more than once a week",3))</f>
        <v>3</v>
      </c>
      <c r="M9" s="1"/>
      <c r="N9" s="1"/>
    </row>
    <row r="10" spans="1:14" x14ac:dyDescent="0.35">
      <c r="H10">
        <f>COUNTIF(H2:H8,"5")</f>
        <v>3</v>
      </c>
    </row>
    <row r="11" spans="1:14" x14ac:dyDescent="0.35">
      <c r="H11">
        <f>SUM(COUNTIF(H2:H8,5),COUNTIF(H2:H8,4))</f>
        <v>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6DA14-477A-4C28-ADF1-BADB1674C8C3}">
  <dimension ref="A1:D2"/>
  <sheetViews>
    <sheetView tabSelected="1" workbookViewId="0">
      <selection activeCell="A2" sqref="A2"/>
    </sheetView>
  </sheetViews>
  <sheetFormatPr defaultRowHeight="14.5" x14ac:dyDescent="0.35"/>
  <cols>
    <col min="1" max="1" width="57.1796875" bestFit="1" customWidth="1"/>
    <col min="2" max="2" width="59.08984375" bestFit="1" customWidth="1"/>
    <col min="3" max="3" width="48.81640625" bestFit="1" customWidth="1"/>
    <col min="4" max="4" width="47.453125" bestFit="1" customWidth="1"/>
  </cols>
  <sheetData>
    <row r="1" spans="1:4" x14ac:dyDescent="0.35">
      <c r="A1" t="s">
        <v>30</v>
      </c>
      <c r="B1" t="s">
        <v>31</v>
      </c>
      <c r="C1" t="s">
        <v>32</v>
      </c>
      <c r="D1" t="s">
        <v>33</v>
      </c>
    </row>
    <row r="2" spans="1:4" x14ac:dyDescent="0.35">
      <c r="A2" s="3">
        <v>3.5714285714285716</v>
      </c>
      <c r="B2" s="3">
        <v>4.1428571428571432</v>
      </c>
      <c r="C2" s="3">
        <v>4.4285714285714288</v>
      </c>
      <c r="D2" s="3">
        <v>4.1428571428571432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75B04-4522-4A83-A5F1-25B4A821CA17}">
  <dimension ref="A1:N10"/>
  <sheetViews>
    <sheetView workbookViewId="0">
      <selection activeCell="G15" sqref="G15"/>
    </sheetView>
  </sheetViews>
  <sheetFormatPr defaultRowHeight="14.5" x14ac:dyDescent="0.35"/>
  <cols>
    <col min="1" max="1" width="8.81640625" bestFit="1" customWidth="1"/>
    <col min="2" max="2" width="14.54296875" bestFit="1" customWidth="1"/>
    <col min="3" max="3" width="17.1796875" bestFit="1" customWidth="1"/>
    <col min="4" max="4" width="17.81640625" bestFit="1" customWidth="1"/>
    <col min="5" max="5" width="10.6328125" bestFit="1" customWidth="1"/>
    <col min="6" max="6" width="8.81640625" bestFit="1" customWidth="1"/>
    <col min="7" max="7" width="49.90625" bestFit="1" customWidth="1"/>
    <col min="8" max="8" width="51.7265625" bestFit="1" customWidth="1"/>
    <col min="9" max="9" width="41.54296875" bestFit="1" customWidth="1"/>
    <col min="10" max="10" width="40.1796875" bestFit="1" customWidth="1"/>
    <col min="11" max="11" width="103.81640625" bestFit="1" customWidth="1"/>
    <col min="12" max="12" width="36.81640625" bestFit="1" customWidth="1"/>
    <col min="13" max="13" width="49.26953125" bestFit="1" customWidth="1"/>
    <col min="14" max="14" width="33.1796875" bestFit="1" customWidth="1"/>
  </cols>
  <sheetData>
    <row r="1" spans="1:14" x14ac:dyDescent="0.35">
      <c r="A1" s="8" t="s">
        <v>34</v>
      </c>
    </row>
    <row r="3" spans="1:14" x14ac:dyDescent="0.35">
      <c r="A3" t="s">
        <v>0</v>
      </c>
      <c r="B3" t="s">
        <v>1</v>
      </c>
      <c r="C3" t="s">
        <v>2</v>
      </c>
      <c r="D3" t="s">
        <v>29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</row>
    <row r="4" spans="1:14" x14ac:dyDescent="0.35">
      <c r="A4">
        <v>1</v>
      </c>
      <c r="B4" s="2">
        <v>46124.870081018518</v>
      </c>
      <c r="C4" s="2">
        <v>46124.870173611111</v>
      </c>
      <c r="D4" s="7">
        <v>9.2592592592592588E-5</v>
      </c>
      <c r="E4" t="s">
        <v>13</v>
      </c>
      <c r="G4">
        <v>4</v>
      </c>
      <c r="H4">
        <v>3</v>
      </c>
      <c r="I4">
        <v>5</v>
      </c>
      <c r="J4">
        <v>4</v>
      </c>
      <c r="L4" t="s">
        <v>14</v>
      </c>
      <c r="M4" t="s">
        <v>15</v>
      </c>
      <c r="N4" t="s">
        <v>16</v>
      </c>
    </row>
    <row r="5" spans="1:14" x14ac:dyDescent="0.35">
      <c r="A5">
        <v>2</v>
      </c>
      <c r="B5" s="2">
        <v>46124.871782407405</v>
      </c>
      <c r="C5" s="2">
        <v>46124.871874999997</v>
      </c>
      <c r="D5" s="7">
        <v>9.2592592592592588E-5</v>
      </c>
      <c r="E5" t="s">
        <v>13</v>
      </c>
      <c r="G5">
        <v>3</v>
      </c>
      <c r="H5">
        <v>5</v>
      </c>
      <c r="I5">
        <v>4</v>
      </c>
      <c r="J5">
        <v>4</v>
      </c>
      <c r="L5" t="s">
        <v>17</v>
      </c>
      <c r="M5" t="s">
        <v>18</v>
      </c>
    </row>
    <row r="6" spans="1:14" x14ac:dyDescent="0.35">
      <c r="A6">
        <v>3</v>
      </c>
      <c r="B6" s="2">
        <v>46125.427986111114</v>
      </c>
      <c r="C6" s="2">
        <v>46125.429618055554</v>
      </c>
      <c r="D6" s="7">
        <v>1.6319444444444445E-3</v>
      </c>
      <c r="E6" t="s">
        <v>13</v>
      </c>
      <c r="G6">
        <v>1</v>
      </c>
      <c r="H6">
        <v>3</v>
      </c>
      <c r="I6">
        <v>4</v>
      </c>
      <c r="J6">
        <v>2</v>
      </c>
      <c r="K6" t="s">
        <v>19</v>
      </c>
      <c r="L6" t="s">
        <v>17</v>
      </c>
      <c r="M6" t="s">
        <v>18</v>
      </c>
    </row>
    <row r="7" spans="1:14" x14ac:dyDescent="0.35">
      <c r="A7">
        <v>4</v>
      </c>
      <c r="B7" s="2">
        <v>46125.429675925923</v>
      </c>
      <c r="C7" s="2">
        <v>46125.430219907408</v>
      </c>
      <c r="D7" s="7">
        <v>5.4398148148148144E-4</v>
      </c>
      <c r="E7" t="s">
        <v>13</v>
      </c>
      <c r="G7">
        <v>5</v>
      </c>
      <c r="H7">
        <v>5</v>
      </c>
      <c r="I7">
        <v>5</v>
      </c>
      <c r="J7">
        <v>5</v>
      </c>
      <c r="K7" t="s">
        <v>20</v>
      </c>
      <c r="L7" t="s">
        <v>21</v>
      </c>
      <c r="M7" t="s">
        <v>15</v>
      </c>
      <c r="N7" t="s">
        <v>22</v>
      </c>
    </row>
    <row r="8" spans="1:14" x14ac:dyDescent="0.35">
      <c r="A8">
        <v>5</v>
      </c>
      <c r="B8" s="2">
        <v>46125.430289351854</v>
      </c>
      <c r="C8" s="2">
        <v>46125.430671296293</v>
      </c>
      <c r="D8" s="7">
        <v>3.8194444444444446E-4</v>
      </c>
      <c r="E8" t="s">
        <v>13</v>
      </c>
      <c r="G8">
        <v>4</v>
      </c>
      <c r="H8">
        <v>4</v>
      </c>
      <c r="I8">
        <v>5</v>
      </c>
      <c r="J8">
        <v>5</v>
      </c>
      <c r="L8" t="s">
        <v>23</v>
      </c>
      <c r="M8" t="s">
        <v>24</v>
      </c>
      <c r="N8" t="s">
        <v>25</v>
      </c>
    </row>
    <row r="9" spans="1:14" x14ac:dyDescent="0.35">
      <c r="A9">
        <v>6</v>
      </c>
      <c r="B9" s="2">
        <v>46125.43074074074</v>
      </c>
      <c r="C9" s="2">
        <v>46125.431122685186</v>
      </c>
      <c r="D9" s="7">
        <v>3.8194444444444446E-4</v>
      </c>
      <c r="E9" t="s">
        <v>13</v>
      </c>
      <c r="G9">
        <v>3</v>
      </c>
      <c r="H9">
        <v>4</v>
      </c>
      <c r="I9">
        <v>3</v>
      </c>
      <c r="J9">
        <v>4</v>
      </c>
      <c r="L9" t="s">
        <v>26</v>
      </c>
      <c r="M9" t="s">
        <v>15</v>
      </c>
      <c r="N9" t="s">
        <v>27</v>
      </c>
    </row>
    <row r="10" spans="1:14" x14ac:dyDescent="0.35">
      <c r="A10">
        <v>7</v>
      </c>
      <c r="B10" s="2">
        <v>46125.431226851855</v>
      </c>
      <c r="C10" s="2">
        <v>46125.431400462963</v>
      </c>
      <c r="D10" s="7">
        <v>1.7361111111111112E-4</v>
      </c>
      <c r="E10" t="s">
        <v>13</v>
      </c>
      <c r="G10">
        <v>5</v>
      </c>
      <c r="H10">
        <v>5</v>
      </c>
      <c r="I10">
        <v>5</v>
      </c>
      <c r="J10">
        <v>5</v>
      </c>
      <c r="L10" t="s">
        <v>23</v>
      </c>
      <c r="M10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Detail1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edmund viray</dc:creator>
  <cp:lastModifiedBy>edmund viray</cp:lastModifiedBy>
  <dcterms:created xsi:type="dcterms:W3CDTF">2026-04-13T17:25:19Z</dcterms:created>
  <dcterms:modified xsi:type="dcterms:W3CDTF">2026-04-13T18:21:41Z</dcterms:modified>
</cp:coreProperties>
</file>