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mundviray\Documents\DataAnalytics\pre-week-2\"/>
    </mc:Choice>
  </mc:AlternateContent>
  <xr:revisionPtr revIDLastSave="0" documentId="13_ncr:1_{F875A3A8-28E0-49A9-A9C4-8ED954412BF7}" xr6:coauthVersionLast="47" xr6:coauthVersionMax="47" xr10:uidLastSave="{00000000-0000-0000-0000-000000000000}"/>
  <bookViews>
    <workbookView xWindow="-110" yWindow="-110" windowWidth="19420" windowHeight="11500" xr2:uid="{77FFC6F0-D5A5-44ED-8D34-E4CBB48E833B}"/>
  </bookViews>
  <sheets>
    <sheet name="Store_Data" sheetId="1" r:id="rId1"/>
    <sheet name="Store_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9" i="1" l="1"/>
  <c r="D18" i="1"/>
  <c r="D14" i="1"/>
  <c r="D17" i="1"/>
  <c r="D16" i="1"/>
  <c r="D15" i="1"/>
</calcChain>
</file>

<file path=xl/sharedStrings.xml><?xml version="1.0" encoding="utf-8"?>
<sst xmlns="http://schemas.openxmlformats.org/spreadsheetml/2006/main" count="26" uniqueCount="26">
  <si>
    <t>Store</t>
  </si>
  <si>
    <t>Montly Sales</t>
  </si>
  <si>
    <t>Store A</t>
  </si>
  <si>
    <t>Store B</t>
  </si>
  <si>
    <t>Store C</t>
  </si>
  <si>
    <t>Store D</t>
  </si>
  <si>
    <t>Store E</t>
  </si>
  <si>
    <t>Store F</t>
  </si>
  <si>
    <t>Store G</t>
  </si>
  <si>
    <t>Store H</t>
  </si>
  <si>
    <t>Store I</t>
  </si>
  <si>
    <t>Store J</t>
  </si>
  <si>
    <t>Store L</t>
  </si>
  <si>
    <t>Store K</t>
  </si>
  <si>
    <t>Mean</t>
  </si>
  <si>
    <t>Median</t>
  </si>
  <si>
    <t>Mode</t>
  </si>
  <si>
    <t>Range</t>
  </si>
  <si>
    <t>Standard Deviation</t>
  </si>
  <si>
    <t>The overall average sales hover a little below 50. Each store appears to be performing roughly the same.</t>
  </si>
  <si>
    <t>However, this is not reflected in the standard devation due to the outlier that is store H, who's monthly sales are 20 higher than the second highest.</t>
  </si>
  <si>
    <t>Without Store H, the standard devation is only 2.9, and with it the devations shoots up to  7.6.</t>
  </si>
  <si>
    <t>This one value increases the mean, but the mode and median remain relatively unaffected by the outlier.</t>
  </si>
  <si>
    <t xml:space="preserve">Additional information I would want is what is making up these monthly sales and the sales over a longer period of time, </t>
  </si>
  <si>
    <t>is store H normally like this over a year? What could be the reason for it's increased sales, is it location, or maybe an event?</t>
  </si>
  <si>
    <t>Standard Deviation without Store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</si>
</sst>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F2C42E1-CC67-41E1-950F-907FE92646BD}" name="Table1" displayName="Table1" ref="A1:B13" totalsRowShown="0">
  <autoFilter ref="A1:B13" xr:uid="{6F2C42E1-CC67-41E1-950F-907FE92646BD}"/>
  <tableColumns count="2">
    <tableColumn id="1" xr3:uid="{98EC42FE-B9BB-4DD5-86E5-0BEC08CE4933}" name="Store"/>
    <tableColumn id="2" xr3:uid="{33CE066A-6500-4A39-9101-9FFBACA9D49A}" name="Montly Sal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EAA02-E2A7-4D72-A058-A1044E5D1C9D}">
  <dimension ref="A1:D19"/>
  <sheetViews>
    <sheetView tabSelected="1" workbookViewId="0">
      <selection activeCell="E21" sqref="E21"/>
    </sheetView>
  </sheetViews>
  <sheetFormatPr defaultRowHeight="14.5" x14ac:dyDescent="0.35"/>
  <cols>
    <col min="1" max="1" width="10.1796875" customWidth="1"/>
    <col min="2" max="2" width="13.453125" bestFit="1" customWidth="1"/>
    <col min="3" max="3" width="29.90625" customWidth="1"/>
  </cols>
  <sheetData>
    <row r="1" spans="1:4" x14ac:dyDescent="0.35">
      <c r="A1" t="s">
        <v>0</v>
      </c>
      <c r="B1" t="s">
        <v>1</v>
      </c>
    </row>
    <row r="2" spans="1:4" x14ac:dyDescent="0.35">
      <c r="A2" t="s">
        <v>2</v>
      </c>
      <c r="B2">
        <v>51</v>
      </c>
    </row>
    <row r="3" spans="1:4" x14ac:dyDescent="0.35">
      <c r="A3" t="s">
        <v>3</v>
      </c>
      <c r="B3">
        <v>44</v>
      </c>
    </row>
    <row r="4" spans="1:4" x14ac:dyDescent="0.35">
      <c r="A4" t="s">
        <v>4</v>
      </c>
      <c r="B4">
        <v>49</v>
      </c>
    </row>
    <row r="5" spans="1:4" x14ac:dyDescent="0.35">
      <c r="A5" t="s">
        <v>5</v>
      </c>
      <c r="B5">
        <v>46</v>
      </c>
    </row>
    <row r="6" spans="1:4" x14ac:dyDescent="0.35">
      <c r="A6" t="s">
        <v>6</v>
      </c>
      <c r="B6">
        <v>52</v>
      </c>
    </row>
    <row r="7" spans="1:4" x14ac:dyDescent="0.35">
      <c r="A7" t="s">
        <v>7</v>
      </c>
      <c r="B7">
        <v>47</v>
      </c>
    </row>
    <row r="8" spans="1:4" x14ac:dyDescent="0.35">
      <c r="A8" t="s">
        <v>8</v>
      </c>
      <c r="B8">
        <v>45</v>
      </c>
    </row>
    <row r="9" spans="1:4" x14ac:dyDescent="0.35">
      <c r="A9" t="s">
        <v>9</v>
      </c>
      <c r="B9">
        <v>72</v>
      </c>
    </row>
    <row r="10" spans="1:4" x14ac:dyDescent="0.35">
      <c r="A10" t="s">
        <v>10</v>
      </c>
      <c r="B10">
        <v>43</v>
      </c>
    </row>
    <row r="11" spans="1:4" x14ac:dyDescent="0.35">
      <c r="A11" t="s">
        <v>11</v>
      </c>
      <c r="B11">
        <v>48</v>
      </c>
    </row>
    <row r="12" spans="1:4" x14ac:dyDescent="0.35">
      <c r="A12" t="s">
        <v>13</v>
      </c>
      <c r="B12">
        <v>46</v>
      </c>
    </row>
    <row r="13" spans="1:4" x14ac:dyDescent="0.35">
      <c r="A13" t="s">
        <v>12</v>
      </c>
      <c r="B13">
        <v>50</v>
      </c>
    </row>
    <row r="14" spans="1:4" x14ac:dyDescent="0.35">
      <c r="C14" t="s">
        <v>14</v>
      </c>
      <c r="D14">
        <f>AVERAGE(B2:B13)</f>
        <v>49.416666666666664</v>
      </c>
    </row>
    <row r="15" spans="1:4" x14ac:dyDescent="0.35">
      <c r="C15" t="s">
        <v>15</v>
      </c>
      <c r="D15">
        <f>MEDIAN(B2:B13)</f>
        <v>47.5</v>
      </c>
    </row>
    <row r="16" spans="1:4" x14ac:dyDescent="0.35">
      <c r="C16" t="s">
        <v>16</v>
      </c>
      <c r="D16">
        <f>MODE(B2:B13)</f>
        <v>46</v>
      </c>
    </row>
    <row r="17" spans="3:4" x14ac:dyDescent="0.35">
      <c r="C17" t="s">
        <v>17</v>
      </c>
      <c r="D17">
        <f>MAX(B2:B13)-MIN(B2:B13)</f>
        <v>29</v>
      </c>
    </row>
    <row r="18" spans="3:4" x14ac:dyDescent="0.35">
      <c r="C18" t="s">
        <v>18</v>
      </c>
      <c r="D18">
        <f>_xlfn.STDEV.S(B2:B13)</f>
        <v>7.6331613054586773</v>
      </c>
    </row>
    <row r="19" spans="3:4" x14ac:dyDescent="0.35">
      <c r="C19" t="s">
        <v>25</v>
      </c>
      <c r="D19">
        <f>_xlfn.STDEV.S(B2:B8,B10:B13)</f>
        <v>2.9076701075853588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FC26F6-F2D8-4DB0-8A8C-AA59D389CAE5}">
  <dimension ref="A1:A6"/>
  <sheetViews>
    <sheetView workbookViewId="0">
      <selection activeCell="A13" sqref="A13"/>
    </sheetView>
  </sheetViews>
  <sheetFormatPr defaultRowHeight="14.5" x14ac:dyDescent="0.35"/>
  <cols>
    <col min="1" max="1" width="127.81640625" customWidth="1"/>
  </cols>
  <sheetData>
    <row r="1" spans="1:1" x14ac:dyDescent="0.35">
      <c r="A1" s="1" t="s">
        <v>19</v>
      </c>
    </row>
    <row r="2" spans="1:1" x14ac:dyDescent="0.35">
      <c r="A2" s="1" t="s">
        <v>20</v>
      </c>
    </row>
    <row r="3" spans="1:1" x14ac:dyDescent="0.35">
      <c r="A3" s="1" t="s">
        <v>21</v>
      </c>
    </row>
    <row r="4" spans="1:1" x14ac:dyDescent="0.35">
      <c r="A4" s="1" t="s">
        <v>22</v>
      </c>
    </row>
    <row r="5" spans="1:1" x14ac:dyDescent="0.35">
      <c r="A5" s="1" t="s">
        <v>23</v>
      </c>
    </row>
    <row r="6" spans="1:1" x14ac:dyDescent="0.35">
      <c r="A6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Store_Data</vt:lpstr>
      <vt:lpstr>Store_Summary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edmund viray</dc:creator>
  <cp:lastModifiedBy>edmund viray</cp:lastModifiedBy>
  <dcterms:created xsi:type="dcterms:W3CDTF">2026-03-25T17:49:40Z</dcterms:created>
  <dcterms:modified xsi:type="dcterms:W3CDTF">2026-03-27T01:50:56Z</dcterms:modified>
</cp:coreProperties>
</file>